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246078a44fc30f/Documents/"/>
    </mc:Choice>
  </mc:AlternateContent>
  <xr:revisionPtr revIDLastSave="462" documentId="8_{B2A91A1A-7A4E-4DF0-92B4-19BC64E5A9C3}" xr6:coauthVersionLast="47" xr6:coauthVersionMax="47" xr10:uidLastSave="{13EA90AD-9E85-4AFD-866D-337A9FE04DEA}"/>
  <bookViews>
    <workbookView xWindow="6630" yWindow="350" windowWidth="12570" windowHeight="10930" xr2:uid="{36E7323F-28A2-47EF-BF36-8BDCBB80E9D4}"/>
  </bookViews>
  <sheets>
    <sheet name="Sheet1" sheetId="1" r:id="rId1"/>
  </sheets>
  <definedNames>
    <definedName name="_xlnm._FilterDatabase" localSheetId="0" hidden="1">Sheet1!$O$1:$O$42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 a="1"/>
  <c r="N9" i="1"/>
  <c r="N11" i="1" a="1"/>
  <c r="N11" i="1"/>
  <c r="N14" i="1" a="1"/>
  <c r="N14" i="1"/>
  <c r="N16" i="1" a="1"/>
  <c r="N16" i="1"/>
  <c r="N19" i="1" a="1"/>
  <c r="N19" i="1" s="1"/>
  <c r="N21" i="1" a="1"/>
  <c r="N21" i="1"/>
  <c r="N24" i="1" a="1"/>
  <c r="N24" i="1"/>
  <c r="N26" i="1" a="1"/>
  <c r="N26" i="1"/>
  <c r="N29" i="1" a="1"/>
  <c r="N29" i="1"/>
  <c r="N31" i="1" a="1"/>
  <c r="N31" i="1" s="1"/>
  <c r="N34" i="1" a="1"/>
  <c r="N34" i="1"/>
  <c r="N36" i="1" a="1"/>
  <c r="N36" i="1"/>
  <c r="N39" i="1" a="1"/>
  <c r="N39" i="1"/>
  <c r="N41" i="1" a="1"/>
  <c r="N41" i="1"/>
  <c r="N6" i="1" a="1"/>
  <c r="N6" i="1"/>
  <c r="N4" i="1" a="1"/>
  <c r="N4" i="1" s="1"/>
  <c r="M6" i="1"/>
  <c r="M9" i="1"/>
  <c r="M11" i="1"/>
  <c r="M14" i="1"/>
  <c r="M16" i="1"/>
  <c r="M19" i="1"/>
  <c r="M21" i="1"/>
  <c r="M24" i="1"/>
  <c r="M26" i="1"/>
  <c r="M29" i="1"/>
  <c r="M31" i="1"/>
  <c r="M34" i="1"/>
  <c r="M36" i="1"/>
  <c r="M39" i="1"/>
  <c r="M41" i="1"/>
  <c r="M4" i="1"/>
  <c r="L24" i="1" a="1"/>
  <c r="L24" i="1" s="1"/>
  <c r="L14" i="1" a="1"/>
  <c r="L14" i="1" s="1"/>
  <c r="L9" i="1" a="1"/>
  <c r="L9" i="1" s="1"/>
  <c r="L4" i="1" a="1"/>
  <c r="L4" i="1" s="1"/>
  <c r="L6" i="1" a="1"/>
  <c r="L6" i="1"/>
  <c r="L11" i="1" a="1"/>
  <c r="L11" i="1"/>
  <c r="L16" i="1" a="1"/>
  <c r="L16" i="1"/>
  <c r="L19" i="1" a="1"/>
  <c r="L19" i="1"/>
  <c r="L21" i="1" a="1"/>
  <c r="L21" i="1" s="1"/>
  <c r="L26" i="1" a="1"/>
  <c r="L26" i="1" s="1"/>
  <c r="L29" i="1" a="1"/>
  <c r="L29" i="1"/>
  <c r="L31" i="1" a="1"/>
  <c r="L31" i="1"/>
  <c r="L34" i="1" a="1"/>
  <c r="L34" i="1"/>
  <c r="L36" i="1" a="1"/>
  <c r="L36" i="1"/>
  <c r="L39" i="1" a="1"/>
  <c r="L39" i="1" s="1"/>
  <c r="L41" i="1" a="1"/>
  <c r="L41" i="1" s="1"/>
  <c r="K9" i="1"/>
  <c r="K11" i="1"/>
  <c r="K14" i="1"/>
  <c r="K16" i="1"/>
  <c r="K19" i="1"/>
  <c r="K21" i="1"/>
  <c r="K24" i="1"/>
  <c r="K26" i="1"/>
  <c r="K29" i="1"/>
  <c r="K31" i="1"/>
  <c r="K34" i="1"/>
  <c r="K36" i="1"/>
  <c r="K39" i="1"/>
  <c r="K41" i="1"/>
  <c r="K6" i="1"/>
  <c r="K4" i="1"/>
  <c r="E16" i="1"/>
  <c r="E11" i="1"/>
  <c r="E14" i="1"/>
  <c r="E10" i="1"/>
  <c r="E33" i="1"/>
  <c r="E42" i="1"/>
  <c r="E27" i="1"/>
  <c r="E28" i="1"/>
  <c r="E29" i="1"/>
  <c r="E30" i="1"/>
  <c r="E31" i="1"/>
  <c r="E32" i="1"/>
  <c r="E34" i="1"/>
  <c r="E35" i="1"/>
  <c r="E36" i="1"/>
  <c r="E37" i="1"/>
  <c r="E38" i="1"/>
  <c r="E39" i="1"/>
  <c r="E40" i="1"/>
  <c r="E41" i="1"/>
  <c r="E19" i="1"/>
  <c r="E20" i="1"/>
  <c r="E21" i="1"/>
  <c r="E22" i="1"/>
  <c r="E23" i="1"/>
  <c r="E24" i="1"/>
  <c r="E25" i="1"/>
  <c r="E26" i="1"/>
  <c r="E4" i="1"/>
  <c r="E5" i="1"/>
  <c r="E6" i="1"/>
  <c r="E7" i="1"/>
  <c r="E8" i="1"/>
  <c r="E9" i="1"/>
  <c r="E12" i="1"/>
  <c r="E13" i="1"/>
  <c r="E15" i="1"/>
  <c r="E17" i="1"/>
  <c r="E18" i="1"/>
  <c r="E3" i="1"/>
  <c r="F8" i="1"/>
  <c r="F13" i="1"/>
  <c r="F18" i="1"/>
  <c r="F23" i="1"/>
  <c r="F28" i="1"/>
  <c r="F33" i="1"/>
  <c r="F38" i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<sst xmlns="http://schemas.openxmlformats.org/spreadsheetml/2006/main" count="27" uniqueCount="23">
  <si>
    <t xml:space="preserve">NAME </t>
  </si>
  <si>
    <t>P158-2R</t>
  </si>
  <si>
    <t>P149-1R</t>
  </si>
  <si>
    <t>Z-TR-115-12</t>
  </si>
  <si>
    <t>P158-1R</t>
  </si>
  <si>
    <t>P159-3R</t>
  </si>
  <si>
    <t>P55-4R</t>
  </si>
  <si>
    <t>D-2-3</t>
  </si>
  <si>
    <t>P53-1R</t>
  </si>
  <si>
    <t>REPLICATION</t>
  </si>
  <si>
    <t>PLANT_COUNT</t>
  </si>
  <si>
    <t>Quadrant 1</t>
  </si>
  <si>
    <t xml:space="preserve">Quadrant 2 </t>
  </si>
  <si>
    <t>TOTAL_SEED_WEIGHT</t>
  </si>
  <si>
    <t>SEED_WEIGHT (g)</t>
  </si>
  <si>
    <t xml:space="preserve">Avg_seed_weight/plant </t>
  </si>
  <si>
    <t xml:space="preserve">        # OF HARVESTED PLANTS</t>
  </si>
  <si>
    <t xml:space="preserve">                                    WET_BIOMASS</t>
  </si>
  <si>
    <t xml:space="preserve">                                             DRY_BIOMASS</t>
  </si>
  <si>
    <t>AVG_WETBM/QUAD</t>
  </si>
  <si>
    <r>
      <rPr>
        <b/>
        <sz val="10"/>
        <color theme="1"/>
        <rFont val="Aptos Narrow"/>
        <family val="2"/>
        <scheme val="minor"/>
      </rPr>
      <t xml:space="preserve">   AVG_WETBM/PLANT</t>
    </r>
    <r>
      <rPr>
        <sz val="10"/>
        <color theme="1"/>
        <rFont val="Aptos Narrow"/>
        <family val="2"/>
        <scheme val="minor"/>
      </rPr>
      <t xml:space="preserve"> </t>
    </r>
  </si>
  <si>
    <t>AVG_DRYBM/QUAD</t>
  </si>
  <si>
    <t>AVG_DRYBM/PLANT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</si>
</sst>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261663-A8F7-4A9F-ABEC-B19C2A0C7EF4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53B8-0606-4399-AD3F-5FCFD0E27343}">
  <dimension ref="A1:P44"/>
  <sheetViews>
    <sheetView tabSelected="1" topLeftCell="M22" workbookViewId="0">
      <selection activeCell="R24" sqref="R24"/>
    </sheetView>
  </sheetViews>
  <sheetFormatPr defaultRowHeight="13" x14ac:dyDescent="0.3"/>
  <cols>
    <col min="1" max="1" width="13.08984375" style="3" customWidth="1"/>
    <col min="2" max="2" width="14.1796875" style="3" customWidth="1"/>
    <col min="3" max="3" width="14.6328125" style="3" customWidth="1"/>
    <col min="4" max="4" width="14.81640625" style="3" customWidth="1"/>
    <col min="5" max="5" width="20.6328125" style="3" customWidth="1"/>
    <col min="6" max="6" width="19.7265625" style="3" customWidth="1"/>
    <col min="7" max="7" width="12.90625" style="3" customWidth="1"/>
    <col min="8" max="8" width="11.90625" style="3" customWidth="1"/>
    <col min="9" max="9" width="14" style="3" customWidth="1"/>
    <col min="10" max="10" width="16.90625" style="3" customWidth="1"/>
    <col min="11" max="11" width="19.08984375" style="3" customWidth="1"/>
    <col min="12" max="14" width="21.90625" style="3" customWidth="1"/>
    <col min="15" max="15" width="20.1796875" style="3" customWidth="1"/>
    <col min="16" max="21" width="8.7265625" style="3"/>
    <col min="22" max="22" width="13.1796875" style="3" customWidth="1"/>
    <col min="23" max="16384" width="8.7265625" style="3"/>
  </cols>
  <sheetData>
    <row r="1" spans="1:16" x14ac:dyDescent="0.3">
      <c r="G1" s="4" t="s">
        <v>11</v>
      </c>
      <c r="H1" s="4" t="s">
        <v>12</v>
      </c>
      <c r="I1" s="4" t="s">
        <v>11</v>
      </c>
      <c r="J1" s="4" t="s">
        <v>12</v>
      </c>
      <c r="K1" s="4"/>
      <c r="L1" s="4"/>
      <c r="M1" s="4"/>
      <c r="N1" s="4"/>
      <c r="O1" s="4" t="s">
        <v>11</v>
      </c>
      <c r="P1" s="4" t="s">
        <v>12</v>
      </c>
    </row>
    <row r="2" spans="1:16" ht="14.5" x14ac:dyDescent="0.35">
      <c r="A2" s="1" t="s">
        <v>0</v>
      </c>
      <c r="B2" s="1" t="s">
        <v>9</v>
      </c>
      <c r="C2" s="1" t="s">
        <v>10</v>
      </c>
      <c r="D2" s="1" t="s">
        <v>14</v>
      </c>
      <c r="E2" s="1" t="s">
        <v>15</v>
      </c>
      <c r="F2" s="2" t="s">
        <v>13</v>
      </c>
      <c r="G2" s="2" t="s">
        <v>17</v>
      </c>
      <c r="H2" s="2"/>
      <c r="I2" s="2" t="s">
        <v>18</v>
      </c>
      <c r="K2" s="2" t="s">
        <v>19</v>
      </c>
      <c r="L2" s="3" t="s">
        <v>20</v>
      </c>
      <c r="M2" s="2" t="s">
        <v>21</v>
      </c>
      <c r="N2" s="2" t="s">
        <v>22</v>
      </c>
      <c r="O2" s="2" t="s">
        <v>16</v>
      </c>
    </row>
    <row r="3" spans="1:16" ht="14.5" x14ac:dyDescent="0.35">
      <c r="A3" s="5" t="s">
        <v>4</v>
      </c>
      <c r="B3">
        <v>1</v>
      </c>
      <c r="C3">
        <v>81</v>
      </c>
      <c r="D3" s="6">
        <v>721</v>
      </c>
      <c r="E3" s="7">
        <f>AVERAGE(D3/C3)</f>
        <v>8.9012345679012341</v>
      </c>
      <c r="F3" s="3">
        <f>SUM(D3:D7)</f>
        <v>2700</v>
      </c>
    </row>
    <row r="4" spans="1:16" ht="14.5" x14ac:dyDescent="0.35">
      <c r="A4" s="5"/>
      <c r="B4">
        <v>2</v>
      </c>
      <c r="C4">
        <v>100</v>
      </c>
      <c r="D4">
        <v>780</v>
      </c>
      <c r="E4" s="7">
        <f t="shared" ref="E4:E41" si="0">AVERAGE(D4/C4)</f>
        <v>7.8</v>
      </c>
      <c r="G4" s="3">
        <v>747</v>
      </c>
      <c r="H4" s="3">
        <v>613</v>
      </c>
      <c r="I4" s="3">
        <v>255</v>
      </c>
      <c r="J4" s="3">
        <v>208</v>
      </c>
      <c r="K4" s="3">
        <f>AVERAGE((G4+H4)/2)</f>
        <v>680</v>
      </c>
      <c r="L4" s="9" cm="1">
        <f t="array" ref="L4">AVERAGE((K4/O4:P4))</f>
        <v>59.242424242424242</v>
      </c>
      <c r="M4" s="9">
        <f>AVERAGE((I4+J4)/2)</f>
        <v>231.5</v>
      </c>
      <c r="N4" s="9" cm="1">
        <f t="array" ref="N4">AVERAGE((M4/O4:P4))</f>
        <v>20.168560606060609</v>
      </c>
      <c r="O4" s="3">
        <v>12</v>
      </c>
      <c r="P4" s="3">
        <v>11</v>
      </c>
    </row>
    <row r="5" spans="1:16" ht="14.5" x14ac:dyDescent="0.35">
      <c r="A5" s="5"/>
      <c r="B5">
        <v>3</v>
      </c>
      <c r="C5">
        <v>101</v>
      </c>
      <c r="D5">
        <v>458</v>
      </c>
      <c r="E5" s="7">
        <f t="shared" si="0"/>
        <v>4.5346534653465342</v>
      </c>
      <c r="M5" s="9"/>
      <c r="N5" s="9"/>
    </row>
    <row r="6" spans="1:16" ht="14.5" x14ac:dyDescent="0.35">
      <c r="A6" s="5"/>
      <c r="B6">
        <v>4</v>
      </c>
      <c r="C6">
        <v>87</v>
      </c>
      <c r="D6">
        <v>302</v>
      </c>
      <c r="E6" s="7">
        <f t="shared" si="0"/>
        <v>3.4712643678160919</v>
      </c>
      <c r="G6" s="3">
        <v>360</v>
      </c>
      <c r="H6" s="3">
        <v>416</v>
      </c>
      <c r="I6" s="3">
        <v>137</v>
      </c>
      <c r="J6" s="3">
        <v>160</v>
      </c>
      <c r="K6" s="3">
        <f t="shared" ref="K6:K41" si="1">AVERAGE((G6+H6)/2)</f>
        <v>388</v>
      </c>
      <c r="L6" s="3" cm="1">
        <f t="array" ref="L6">AVERAGE((K6/O6:P6))</f>
        <v>48.5</v>
      </c>
      <c r="M6" s="9">
        <f t="shared" ref="M6:M41" si="2">AVERAGE((I6+J6)/2)</f>
        <v>148.5</v>
      </c>
      <c r="N6" s="9" cm="1">
        <f t="array" ref="N6">AVERAGE((M6/O6:P6))</f>
        <v>18.5625</v>
      </c>
      <c r="O6" s="3">
        <v>8</v>
      </c>
      <c r="P6" s="3">
        <v>8</v>
      </c>
    </row>
    <row r="7" spans="1:16" ht="14.5" x14ac:dyDescent="0.35">
      <c r="A7" s="5"/>
      <c r="B7">
        <v>5</v>
      </c>
      <c r="C7">
        <v>82</v>
      </c>
      <c r="D7">
        <v>439</v>
      </c>
      <c r="E7" s="7">
        <f t="shared" si="0"/>
        <v>5.3536585365853657</v>
      </c>
      <c r="M7" s="9"/>
      <c r="N7" s="9"/>
    </row>
    <row r="8" spans="1:16" ht="14.5" x14ac:dyDescent="0.35">
      <c r="A8" s="5" t="s">
        <v>1</v>
      </c>
      <c r="B8">
        <v>1</v>
      </c>
      <c r="C8">
        <v>81</v>
      </c>
      <c r="D8">
        <v>718</v>
      </c>
      <c r="E8" s="7">
        <f t="shared" si="0"/>
        <v>8.8641975308641978</v>
      </c>
      <c r="F8" s="3">
        <f t="shared" ref="F8:F38" si="3">SUM(D8:D12)</f>
        <v>3032</v>
      </c>
      <c r="M8" s="9"/>
      <c r="N8" s="9"/>
    </row>
    <row r="9" spans="1:16" ht="14.5" x14ac:dyDescent="0.35">
      <c r="A9" s="5"/>
      <c r="B9">
        <v>2</v>
      </c>
      <c r="C9">
        <v>93</v>
      </c>
      <c r="D9">
        <v>635</v>
      </c>
      <c r="E9" s="7">
        <f t="shared" si="0"/>
        <v>6.827956989247312</v>
      </c>
      <c r="G9" s="3">
        <v>500</v>
      </c>
      <c r="H9" s="3">
        <v>1034</v>
      </c>
      <c r="I9" s="3">
        <v>200</v>
      </c>
      <c r="J9" s="3">
        <v>333</v>
      </c>
      <c r="K9" s="3">
        <f t="shared" si="1"/>
        <v>767</v>
      </c>
      <c r="L9" s="10" cm="1">
        <f t="array" ref="L9">AVERAGE((K9/O9:P9))</f>
        <v>102.72321428571428</v>
      </c>
      <c r="M9" s="9">
        <f t="shared" si="2"/>
        <v>266.5</v>
      </c>
      <c r="N9" s="9" cm="1">
        <f t="array" ref="N9">AVERAGE((M9/O9:P9))</f>
        <v>35.691964285714285</v>
      </c>
      <c r="O9" s="3">
        <v>7</v>
      </c>
      <c r="P9" s="3">
        <v>8</v>
      </c>
    </row>
    <row r="10" spans="1:16" ht="14.5" x14ac:dyDescent="0.35">
      <c r="A10" s="5"/>
      <c r="B10">
        <v>3</v>
      </c>
      <c r="C10">
        <v>92</v>
      </c>
      <c r="D10">
        <v>445</v>
      </c>
      <c r="E10" s="7">
        <f>AVERAGE(D10/C10)</f>
        <v>4.8369565217391308</v>
      </c>
      <c r="M10" s="9"/>
      <c r="N10" s="9"/>
    </row>
    <row r="11" spans="1:16" ht="14.5" x14ac:dyDescent="0.35">
      <c r="A11" s="5"/>
      <c r="B11">
        <v>4</v>
      </c>
      <c r="C11">
        <v>82</v>
      </c>
      <c r="D11">
        <v>486</v>
      </c>
      <c r="E11" s="7">
        <f>AVERAGE(D11/C11)</f>
        <v>5.9268292682926829</v>
      </c>
      <c r="G11" s="3">
        <v>532</v>
      </c>
      <c r="H11" s="3">
        <v>536</v>
      </c>
      <c r="I11" s="3">
        <v>195</v>
      </c>
      <c r="J11" s="3">
        <v>211</v>
      </c>
      <c r="K11" s="3">
        <f t="shared" si="1"/>
        <v>534</v>
      </c>
      <c r="L11" s="3" cm="1">
        <f t="array" ref="L11">AVERAGE((K11/O11:P11))</f>
        <v>53.4</v>
      </c>
      <c r="M11" s="9">
        <f t="shared" si="2"/>
        <v>203</v>
      </c>
      <c r="N11" s="9" cm="1">
        <f t="array" ref="N11">AVERAGE((M11/O11:P11))</f>
        <v>20.3</v>
      </c>
      <c r="O11" s="3">
        <v>10</v>
      </c>
      <c r="P11" s="3">
        <v>10</v>
      </c>
    </row>
    <row r="12" spans="1:16" ht="14.5" x14ac:dyDescent="0.35">
      <c r="A12" s="5"/>
      <c r="B12">
        <v>5</v>
      </c>
      <c r="C12">
        <v>76</v>
      </c>
      <c r="D12">
        <v>748</v>
      </c>
      <c r="E12" s="7">
        <f t="shared" si="0"/>
        <v>9.8421052631578956</v>
      </c>
      <c r="M12" s="9"/>
      <c r="N12" s="9"/>
    </row>
    <row r="13" spans="1:16" ht="14.5" x14ac:dyDescent="0.35">
      <c r="A13" s="5" t="s">
        <v>5</v>
      </c>
      <c r="B13">
        <v>1</v>
      </c>
      <c r="C13">
        <v>65</v>
      </c>
      <c r="D13">
        <v>1286</v>
      </c>
      <c r="E13" s="7">
        <f t="shared" si="0"/>
        <v>19.784615384615385</v>
      </c>
      <c r="F13" s="3">
        <f t="shared" si="3"/>
        <v>4022</v>
      </c>
      <c r="M13" s="9"/>
      <c r="N13" s="9"/>
    </row>
    <row r="14" spans="1:16" ht="14.5" x14ac:dyDescent="0.35">
      <c r="A14" s="5"/>
      <c r="B14">
        <v>2</v>
      </c>
      <c r="C14">
        <v>78</v>
      </c>
      <c r="D14">
        <v>786</v>
      </c>
      <c r="E14" s="7">
        <f>AVERAGE(D14/C14)</f>
        <v>10.076923076923077</v>
      </c>
      <c r="G14" s="3">
        <v>1286</v>
      </c>
      <c r="H14" s="3">
        <v>1154</v>
      </c>
      <c r="I14" s="3">
        <v>435</v>
      </c>
      <c r="J14" s="3">
        <v>388</v>
      </c>
      <c r="K14" s="3">
        <f t="shared" si="1"/>
        <v>1220</v>
      </c>
      <c r="L14" s="9" cm="1">
        <f t="array" ref="L14">AVERAGE((K14/O14:P14))</f>
        <v>154.92063492063491</v>
      </c>
      <c r="M14" s="9">
        <f t="shared" si="2"/>
        <v>411.5</v>
      </c>
      <c r="N14" s="9" cm="1">
        <f t="array" ref="N14">AVERAGE((M14/O14:P14))</f>
        <v>52.253968253968253</v>
      </c>
      <c r="O14" s="3">
        <v>7</v>
      </c>
      <c r="P14" s="3">
        <v>9</v>
      </c>
    </row>
    <row r="15" spans="1:16" ht="14.5" x14ac:dyDescent="0.35">
      <c r="A15" s="5"/>
      <c r="B15">
        <v>3</v>
      </c>
      <c r="C15">
        <v>83</v>
      </c>
      <c r="D15">
        <v>631</v>
      </c>
      <c r="E15" s="7">
        <f t="shared" si="0"/>
        <v>7.6024096385542173</v>
      </c>
      <c r="M15" s="9"/>
      <c r="N15" s="9"/>
    </row>
    <row r="16" spans="1:16" ht="14.5" x14ac:dyDescent="0.35">
      <c r="A16" s="5"/>
      <c r="B16">
        <v>4</v>
      </c>
      <c r="C16">
        <v>61</v>
      </c>
      <c r="D16">
        <v>583</v>
      </c>
      <c r="E16" s="7">
        <f>AVERAGE(D16/C16)</f>
        <v>9.557377049180328</v>
      </c>
      <c r="G16" s="3">
        <v>709</v>
      </c>
      <c r="H16" s="3">
        <v>943</v>
      </c>
      <c r="I16" s="3">
        <v>243</v>
      </c>
      <c r="J16" s="3">
        <v>333</v>
      </c>
      <c r="K16" s="3">
        <f t="shared" si="1"/>
        <v>826</v>
      </c>
      <c r="L16" s="9" cm="1">
        <f t="array" ref="L16">AVERAGE((K16/O16:P16))</f>
        <v>92.924999999999997</v>
      </c>
      <c r="M16" s="9">
        <f t="shared" si="2"/>
        <v>288</v>
      </c>
      <c r="N16" s="9" cm="1">
        <f t="array" ref="N16">AVERAGE((M16/O16:P16))</f>
        <v>32.4</v>
      </c>
      <c r="O16" s="3">
        <v>10</v>
      </c>
      <c r="P16" s="3">
        <v>8</v>
      </c>
    </row>
    <row r="17" spans="1:16" ht="14.5" x14ac:dyDescent="0.35">
      <c r="A17" s="5"/>
      <c r="B17">
        <v>5</v>
      </c>
      <c r="C17">
        <v>76</v>
      </c>
      <c r="D17">
        <v>736</v>
      </c>
      <c r="E17" s="7">
        <f t="shared" si="0"/>
        <v>9.6842105263157894</v>
      </c>
      <c r="M17" s="9"/>
      <c r="N17" s="9"/>
    </row>
    <row r="18" spans="1:16" ht="14.5" x14ac:dyDescent="0.35">
      <c r="A18" s="5" t="s">
        <v>2</v>
      </c>
      <c r="B18">
        <v>1</v>
      </c>
      <c r="C18">
        <v>100</v>
      </c>
      <c r="D18">
        <v>646</v>
      </c>
      <c r="E18" s="7">
        <f t="shared" si="0"/>
        <v>6.46</v>
      </c>
      <c r="F18" s="3">
        <f t="shared" si="3"/>
        <v>2563</v>
      </c>
      <c r="M18" s="9"/>
      <c r="N18" s="9"/>
    </row>
    <row r="19" spans="1:16" ht="14.5" x14ac:dyDescent="0.35">
      <c r="A19" s="5"/>
      <c r="B19">
        <v>2</v>
      </c>
      <c r="C19">
        <v>83</v>
      </c>
      <c r="D19">
        <v>665</v>
      </c>
      <c r="E19" s="7">
        <f>AVERAGE(D19/C19)</f>
        <v>8.0120481927710845</v>
      </c>
      <c r="G19" s="3">
        <v>865</v>
      </c>
      <c r="H19" s="3">
        <v>1057</v>
      </c>
      <c r="I19" s="3">
        <v>331</v>
      </c>
      <c r="J19" s="3">
        <v>319</v>
      </c>
      <c r="K19" s="3">
        <f t="shared" si="1"/>
        <v>961</v>
      </c>
      <c r="L19" s="9" cm="1">
        <f t="array" ref="L19">AVERAGE((K19/O19:P19))</f>
        <v>108.1125</v>
      </c>
      <c r="M19" s="9">
        <f t="shared" si="2"/>
        <v>325</v>
      </c>
      <c r="N19" s="9" cm="1">
        <f t="array" ref="N19">AVERAGE((M19/O19:P19))</f>
        <v>36.5625</v>
      </c>
      <c r="O19" s="3">
        <v>10</v>
      </c>
      <c r="P19" s="3">
        <v>8</v>
      </c>
    </row>
    <row r="20" spans="1:16" ht="14.5" x14ac:dyDescent="0.35">
      <c r="A20" s="5"/>
      <c r="B20">
        <v>3</v>
      </c>
      <c r="C20">
        <v>90</v>
      </c>
      <c r="D20">
        <v>315</v>
      </c>
      <c r="E20" s="7">
        <f t="shared" si="0"/>
        <v>3.5</v>
      </c>
      <c r="M20" s="9"/>
      <c r="N20" s="9"/>
    </row>
    <row r="21" spans="1:16" ht="14.5" x14ac:dyDescent="0.35">
      <c r="A21" s="5"/>
      <c r="B21">
        <v>4</v>
      </c>
      <c r="C21">
        <v>76</v>
      </c>
      <c r="D21">
        <v>411</v>
      </c>
      <c r="E21" s="7">
        <f t="shared" si="0"/>
        <v>5.4078947368421053</v>
      </c>
      <c r="G21" s="3">
        <v>1034</v>
      </c>
      <c r="H21" s="3">
        <v>596</v>
      </c>
      <c r="I21" s="3">
        <v>366</v>
      </c>
      <c r="J21" s="3">
        <v>212</v>
      </c>
      <c r="K21" s="3">
        <f t="shared" si="1"/>
        <v>815</v>
      </c>
      <c r="L21" s="9" cm="1">
        <f t="array" ref="L21">AVERAGE((K21/O21:P21))</f>
        <v>74.708333333333343</v>
      </c>
      <c r="M21" s="9">
        <f t="shared" si="2"/>
        <v>289</v>
      </c>
      <c r="N21" s="9" cm="1">
        <f t="array" ref="N21">AVERAGE((M21/O21:P21))</f>
        <v>26.491666666666667</v>
      </c>
      <c r="O21" s="3">
        <v>10</v>
      </c>
      <c r="P21" s="3">
        <v>12</v>
      </c>
    </row>
    <row r="22" spans="1:16" ht="14.5" x14ac:dyDescent="0.35">
      <c r="A22" s="5"/>
      <c r="B22">
        <v>5</v>
      </c>
      <c r="C22">
        <v>80</v>
      </c>
      <c r="D22">
        <v>526</v>
      </c>
      <c r="E22" s="7">
        <f t="shared" si="0"/>
        <v>6.5750000000000002</v>
      </c>
      <c r="M22" s="9"/>
      <c r="N22" s="9"/>
    </row>
    <row r="23" spans="1:16" ht="14.5" x14ac:dyDescent="0.35">
      <c r="A23" s="5" t="s">
        <v>3</v>
      </c>
      <c r="B23">
        <v>1</v>
      </c>
      <c r="C23">
        <v>21</v>
      </c>
      <c r="D23">
        <v>469</v>
      </c>
      <c r="E23" s="7">
        <f t="shared" si="0"/>
        <v>22.333333333333332</v>
      </c>
      <c r="F23" s="3">
        <f t="shared" si="3"/>
        <v>2745</v>
      </c>
      <c r="M23" s="9"/>
      <c r="N23" s="9"/>
    </row>
    <row r="24" spans="1:16" ht="14.5" x14ac:dyDescent="0.35">
      <c r="A24" s="5"/>
      <c r="B24">
        <v>2</v>
      </c>
      <c r="C24">
        <v>40</v>
      </c>
      <c r="D24">
        <v>329</v>
      </c>
      <c r="E24" s="7">
        <f t="shared" si="0"/>
        <v>8.2249999999999996</v>
      </c>
      <c r="G24" s="3">
        <v>667</v>
      </c>
      <c r="H24" s="3">
        <v>1116</v>
      </c>
      <c r="I24" s="3">
        <v>214</v>
      </c>
      <c r="J24" s="3">
        <v>417</v>
      </c>
      <c r="K24" s="3">
        <f t="shared" si="1"/>
        <v>891.5</v>
      </c>
      <c r="L24" s="9" cm="1">
        <f t="array" ref="L24">AVERAGE((K24/O24:P24))</f>
        <v>108.25357142857143</v>
      </c>
      <c r="M24" s="9">
        <f t="shared" si="2"/>
        <v>315.5</v>
      </c>
      <c r="N24" s="9" cm="1">
        <f t="array" ref="N24">AVERAGE((M24/O24:P24))</f>
        <v>38.310714285714283</v>
      </c>
      <c r="O24" s="3">
        <v>7</v>
      </c>
      <c r="P24" s="3">
        <v>10</v>
      </c>
    </row>
    <row r="25" spans="1:16" ht="14.5" x14ac:dyDescent="0.35">
      <c r="A25" s="5"/>
      <c r="B25">
        <v>3</v>
      </c>
      <c r="C25">
        <v>91</v>
      </c>
      <c r="D25">
        <v>795</v>
      </c>
      <c r="E25" s="7">
        <f t="shared" si="0"/>
        <v>8.7362637362637354</v>
      </c>
      <c r="M25" s="9"/>
      <c r="N25" s="9"/>
    </row>
    <row r="26" spans="1:16" ht="14.5" x14ac:dyDescent="0.35">
      <c r="A26" s="5"/>
      <c r="B26">
        <v>4</v>
      </c>
      <c r="C26">
        <v>94</v>
      </c>
      <c r="D26">
        <v>543</v>
      </c>
      <c r="E26" s="7">
        <f t="shared" si="0"/>
        <v>5.7765957446808507</v>
      </c>
      <c r="G26" s="3">
        <v>392</v>
      </c>
      <c r="H26" s="3">
        <v>539</v>
      </c>
      <c r="I26" s="3">
        <v>165</v>
      </c>
      <c r="J26" s="3">
        <v>235</v>
      </c>
      <c r="K26" s="3">
        <f t="shared" si="1"/>
        <v>465.5</v>
      </c>
      <c r="L26" s="9" cm="1">
        <f t="array" ref="L26">AVERAGE((K26/O26:P26))</f>
        <v>59.111111111111114</v>
      </c>
      <c r="M26" s="9">
        <f t="shared" si="2"/>
        <v>200</v>
      </c>
      <c r="N26" s="9" cm="1">
        <f t="array" ref="N26">AVERAGE((M26/O26:P26))</f>
        <v>25.396825396825399</v>
      </c>
      <c r="O26" s="3">
        <v>9</v>
      </c>
      <c r="P26" s="3">
        <v>7</v>
      </c>
    </row>
    <row r="27" spans="1:16" ht="14.5" x14ac:dyDescent="0.35">
      <c r="A27" s="5"/>
      <c r="B27">
        <v>5</v>
      </c>
      <c r="C27">
        <v>64</v>
      </c>
      <c r="D27">
        <v>609</v>
      </c>
      <c r="E27" s="7">
        <f>AVERAGE(D27/C27)</f>
        <v>9.515625</v>
      </c>
      <c r="M27" s="9"/>
      <c r="N27" s="9"/>
    </row>
    <row r="28" spans="1:16" ht="14.5" x14ac:dyDescent="0.35">
      <c r="A28" s="5" t="s">
        <v>6</v>
      </c>
      <c r="B28">
        <v>1</v>
      </c>
      <c r="C28">
        <v>93</v>
      </c>
      <c r="D28">
        <v>583</v>
      </c>
      <c r="E28" s="7">
        <f t="shared" si="0"/>
        <v>6.268817204301075</v>
      </c>
      <c r="F28" s="3">
        <f t="shared" si="3"/>
        <v>3084</v>
      </c>
      <c r="M28" s="9"/>
      <c r="N28" s="9"/>
    </row>
    <row r="29" spans="1:16" ht="14.5" x14ac:dyDescent="0.35">
      <c r="A29" s="5"/>
      <c r="B29">
        <v>2</v>
      </c>
      <c r="C29">
        <v>85</v>
      </c>
      <c r="D29">
        <v>637</v>
      </c>
      <c r="E29" s="7">
        <f t="shared" si="0"/>
        <v>7.4941176470588236</v>
      </c>
      <c r="G29" s="3">
        <v>1029</v>
      </c>
      <c r="H29" s="3">
        <v>838</v>
      </c>
      <c r="I29" s="3">
        <v>381</v>
      </c>
      <c r="J29" s="3">
        <v>312</v>
      </c>
      <c r="K29" s="3">
        <f t="shared" si="1"/>
        <v>933.5</v>
      </c>
      <c r="L29" s="3" cm="1">
        <f t="array" ref="L29">AVERAGE((K29/O29:P29))</f>
        <v>93.35</v>
      </c>
      <c r="M29" s="9">
        <f t="shared" si="2"/>
        <v>346.5</v>
      </c>
      <c r="N29" s="9" cm="1">
        <f t="array" ref="N29">AVERAGE((M29/O29:P29))</f>
        <v>34.65</v>
      </c>
      <c r="O29" s="3">
        <v>10</v>
      </c>
      <c r="P29" s="3">
        <v>10</v>
      </c>
    </row>
    <row r="30" spans="1:16" ht="14.5" x14ac:dyDescent="0.35">
      <c r="A30" s="5"/>
      <c r="B30">
        <v>3</v>
      </c>
      <c r="C30">
        <v>95</v>
      </c>
      <c r="D30">
        <v>445</v>
      </c>
      <c r="E30" s="7">
        <f t="shared" si="0"/>
        <v>4.6842105263157894</v>
      </c>
      <c r="M30" s="9"/>
      <c r="N30" s="9"/>
    </row>
    <row r="31" spans="1:16" ht="14.5" x14ac:dyDescent="0.35">
      <c r="A31" s="5"/>
      <c r="B31">
        <v>4</v>
      </c>
      <c r="C31">
        <v>111</v>
      </c>
      <c r="D31">
        <v>845</v>
      </c>
      <c r="E31" s="7">
        <f t="shared" si="0"/>
        <v>7.6126126126126126</v>
      </c>
      <c r="G31" s="3">
        <v>952</v>
      </c>
      <c r="H31" s="3">
        <v>391</v>
      </c>
      <c r="I31" s="3">
        <v>384</v>
      </c>
      <c r="J31" s="3">
        <v>160</v>
      </c>
      <c r="K31" s="3">
        <f t="shared" si="1"/>
        <v>671.5</v>
      </c>
      <c r="L31" s="9" cm="1">
        <f t="array" ref="L31">AVERAGE((K31/O31:P31))</f>
        <v>64.097727272727269</v>
      </c>
      <c r="M31" s="9">
        <f t="shared" si="2"/>
        <v>272</v>
      </c>
      <c r="N31" s="9" cm="1">
        <f t="array" ref="N31">AVERAGE((M31/O31:P31))</f>
        <v>25.963636363636361</v>
      </c>
      <c r="O31" s="3">
        <v>10</v>
      </c>
      <c r="P31" s="3">
        <v>11</v>
      </c>
    </row>
    <row r="32" spans="1:16" ht="14.5" x14ac:dyDescent="0.35">
      <c r="A32" s="5"/>
      <c r="B32">
        <v>5</v>
      </c>
      <c r="C32">
        <v>86</v>
      </c>
      <c r="D32">
        <v>574</v>
      </c>
      <c r="E32" s="7">
        <f t="shared" si="0"/>
        <v>6.6744186046511631</v>
      </c>
      <c r="M32" s="9"/>
      <c r="N32" s="9"/>
    </row>
    <row r="33" spans="1:16" ht="14.5" x14ac:dyDescent="0.35">
      <c r="A33" s="5" t="s">
        <v>7</v>
      </c>
      <c r="B33">
        <v>1</v>
      </c>
      <c r="C33">
        <v>74</v>
      </c>
      <c r="D33">
        <v>751</v>
      </c>
      <c r="E33" s="7">
        <f>AVERAGE(D33/C33)</f>
        <v>10.148648648648649</v>
      </c>
      <c r="F33" s="3">
        <f t="shared" si="3"/>
        <v>4012</v>
      </c>
      <c r="M33" s="9"/>
      <c r="N33" s="9"/>
    </row>
    <row r="34" spans="1:16" ht="14.5" x14ac:dyDescent="0.35">
      <c r="A34" s="5"/>
      <c r="B34">
        <v>2</v>
      </c>
      <c r="C34">
        <v>83</v>
      </c>
      <c r="D34">
        <v>973</v>
      </c>
      <c r="E34" s="7">
        <f t="shared" si="0"/>
        <v>11.72289156626506</v>
      </c>
      <c r="G34" s="3">
        <v>541</v>
      </c>
      <c r="H34" s="3">
        <v>341</v>
      </c>
      <c r="I34" s="3">
        <v>242</v>
      </c>
      <c r="J34" s="3">
        <v>122</v>
      </c>
      <c r="K34" s="3">
        <f t="shared" si="1"/>
        <v>441</v>
      </c>
      <c r="L34" s="9" cm="1">
        <f t="array" ref="L34">AVERAGE((K34/O34:P34))</f>
        <v>52.0625</v>
      </c>
      <c r="M34" s="9">
        <f t="shared" si="2"/>
        <v>182</v>
      </c>
      <c r="N34" s="9" cm="1">
        <f t="array" ref="N34">AVERAGE((M34/O34:P34))</f>
        <v>21.486111111111111</v>
      </c>
      <c r="O34" s="3">
        <v>9</v>
      </c>
      <c r="P34" s="3">
        <v>8</v>
      </c>
    </row>
    <row r="35" spans="1:16" ht="14.5" x14ac:dyDescent="0.35">
      <c r="A35" s="5"/>
      <c r="B35">
        <v>3</v>
      </c>
      <c r="C35">
        <v>95</v>
      </c>
      <c r="D35">
        <v>1041</v>
      </c>
      <c r="E35" s="7">
        <f t="shared" si="0"/>
        <v>10.957894736842105</v>
      </c>
      <c r="M35" s="9"/>
      <c r="N35" s="9"/>
    </row>
    <row r="36" spans="1:16" ht="14.5" x14ac:dyDescent="0.35">
      <c r="A36" s="5"/>
      <c r="B36">
        <v>4</v>
      </c>
      <c r="C36">
        <v>91</v>
      </c>
      <c r="D36">
        <v>635</v>
      </c>
      <c r="E36" s="7">
        <f t="shared" si="0"/>
        <v>6.9780219780219781</v>
      </c>
      <c r="G36" s="3">
        <v>473</v>
      </c>
      <c r="H36" s="3">
        <v>945</v>
      </c>
      <c r="I36" s="3">
        <v>239</v>
      </c>
      <c r="J36" s="3">
        <v>361</v>
      </c>
      <c r="K36" s="3">
        <f t="shared" si="1"/>
        <v>709</v>
      </c>
      <c r="L36" s="9" cm="1">
        <f t="array" ref="L36">AVERAGE((K36/O36:P36))</f>
        <v>62.719230769230776</v>
      </c>
      <c r="M36" s="9">
        <f t="shared" si="2"/>
        <v>300</v>
      </c>
      <c r="N36" s="9" cm="1">
        <f t="array" ref="N36">AVERAGE((M36/O36:P36))</f>
        <v>26.53846153846154</v>
      </c>
      <c r="O36" s="3">
        <v>10</v>
      </c>
      <c r="P36" s="3">
        <v>13</v>
      </c>
    </row>
    <row r="37" spans="1:16" ht="14.5" x14ac:dyDescent="0.35">
      <c r="A37" s="5"/>
      <c r="B37">
        <v>5</v>
      </c>
      <c r="C37">
        <v>80</v>
      </c>
      <c r="D37">
        <v>612</v>
      </c>
      <c r="E37" s="7">
        <f t="shared" si="0"/>
        <v>7.65</v>
      </c>
      <c r="M37" s="9"/>
      <c r="N37" s="9"/>
    </row>
    <row r="38" spans="1:16" ht="14.5" x14ac:dyDescent="0.35">
      <c r="A38" s="5" t="s">
        <v>8</v>
      </c>
      <c r="B38">
        <v>1</v>
      </c>
      <c r="C38">
        <v>54</v>
      </c>
      <c r="D38">
        <v>850</v>
      </c>
      <c r="E38" s="7">
        <f t="shared" si="0"/>
        <v>15.74074074074074</v>
      </c>
      <c r="F38" s="3">
        <f t="shared" si="3"/>
        <v>3225</v>
      </c>
      <c r="M38" s="9"/>
      <c r="N38" s="9"/>
    </row>
    <row r="39" spans="1:16" ht="14.5" x14ac:dyDescent="0.35">
      <c r="A39" s="5"/>
      <c r="B39">
        <v>2</v>
      </c>
      <c r="C39">
        <v>82</v>
      </c>
      <c r="D39">
        <v>542</v>
      </c>
      <c r="E39" s="7">
        <f t="shared" si="0"/>
        <v>6.6097560975609753</v>
      </c>
      <c r="G39" s="3">
        <v>858</v>
      </c>
      <c r="H39" s="3">
        <v>375</v>
      </c>
      <c r="I39" s="3">
        <v>313</v>
      </c>
      <c r="J39" s="3">
        <v>165</v>
      </c>
      <c r="K39" s="3">
        <f t="shared" si="1"/>
        <v>616.5</v>
      </c>
      <c r="L39" s="3" cm="1">
        <f t="array" ref="L39">AVERAGE((K39/O39:P39))</f>
        <v>65.075000000000003</v>
      </c>
      <c r="M39" s="9">
        <f t="shared" si="2"/>
        <v>239</v>
      </c>
      <c r="N39" s="9" cm="1">
        <f t="array" ref="N39">AVERAGE((M39/O39:P39))</f>
        <v>25.227777777777778</v>
      </c>
      <c r="O39" s="3">
        <v>10</v>
      </c>
      <c r="P39" s="3">
        <v>9</v>
      </c>
    </row>
    <row r="40" spans="1:16" ht="14.5" x14ac:dyDescent="0.35">
      <c r="A40" s="5"/>
      <c r="B40">
        <v>3</v>
      </c>
      <c r="C40">
        <v>84</v>
      </c>
      <c r="D40">
        <v>728</v>
      </c>
      <c r="E40" s="7">
        <f t="shared" si="0"/>
        <v>8.6666666666666661</v>
      </c>
      <c r="M40" s="9"/>
      <c r="N40" s="9"/>
    </row>
    <row r="41" spans="1:16" ht="14.5" x14ac:dyDescent="0.35">
      <c r="A41" s="5"/>
      <c r="B41">
        <v>4</v>
      </c>
      <c r="C41">
        <v>77</v>
      </c>
      <c r="D41">
        <v>633</v>
      </c>
      <c r="E41" s="7">
        <f t="shared" si="0"/>
        <v>8.220779220779221</v>
      </c>
      <c r="G41" s="3">
        <v>294</v>
      </c>
      <c r="H41" s="3">
        <v>505</v>
      </c>
      <c r="I41" s="3">
        <v>114</v>
      </c>
      <c r="J41" s="3">
        <v>198</v>
      </c>
      <c r="K41" s="3">
        <f t="shared" si="1"/>
        <v>399.5</v>
      </c>
      <c r="L41" s="3" cm="1">
        <f t="array" ref="L41">AVERAGE((K41/O41:P41))</f>
        <v>61.827380952380949</v>
      </c>
      <c r="M41" s="9">
        <f t="shared" si="2"/>
        <v>156</v>
      </c>
      <c r="N41" s="9" cm="1">
        <f t="array" ref="N41">AVERAGE((M41/O41:P41))</f>
        <v>24.142857142857142</v>
      </c>
      <c r="O41" s="3">
        <v>6</v>
      </c>
      <c r="P41" s="3">
        <v>7</v>
      </c>
    </row>
    <row r="42" spans="1:16" ht="14.5" x14ac:dyDescent="0.35">
      <c r="A42" s="5"/>
      <c r="B42">
        <v>5</v>
      </c>
      <c r="C42">
        <v>90</v>
      </c>
      <c r="D42">
        <v>472</v>
      </c>
      <c r="E42" s="7">
        <f>AVERAGE(D42/C42)</f>
        <v>5.2444444444444445</v>
      </c>
    </row>
    <row r="43" spans="1:16" ht="14.5" x14ac:dyDescent="0.35">
      <c r="E43" s="8"/>
    </row>
    <row r="44" spans="1:16" ht="14.5" x14ac:dyDescent="0.35">
      <c r="E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gondhi</dc:creator>
  <cp:lastModifiedBy>shravani gondhi</cp:lastModifiedBy>
  <dcterms:created xsi:type="dcterms:W3CDTF">2026-02-11T13:52:28Z</dcterms:created>
  <dcterms:modified xsi:type="dcterms:W3CDTF">2026-02-15T22:09:21Z</dcterms:modified>
</cp:coreProperties>
</file>